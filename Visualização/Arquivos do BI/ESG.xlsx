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abr\OneDrive - alunos.utfpr.edu.br\Engenharia de Software 1\2025_2\TCC2\BI\"/>
    </mc:Choice>
  </mc:AlternateContent>
  <xr:revisionPtr revIDLastSave="0" documentId="13_ncr:1_{87C1CED9-4248-47DD-BB90-BBF5D0AB3A4B}" xr6:coauthVersionLast="47" xr6:coauthVersionMax="47" xr10:uidLastSave="{00000000-0000-0000-0000-000000000000}"/>
  <bookViews>
    <workbookView xWindow="-120" yWindow="-120" windowWidth="20730" windowHeight="11040" xr2:uid="{E33C47F7-C4E6-4389-B9BE-EC1D421E848B}"/>
  </bookViews>
  <sheets>
    <sheet name="Fat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10" i="1"/>
  <c r="F12" i="1"/>
  <c r="F11" i="1"/>
  <c r="F8" i="1"/>
  <c r="F7" i="1"/>
</calcChain>
</file>

<file path=xl/sharedStrings.xml><?xml version="1.0" encoding="utf-8"?>
<sst xmlns="http://schemas.openxmlformats.org/spreadsheetml/2006/main" count="526" uniqueCount="39">
  <si>
    <t>Empresa</t>
  </si>
  <si>
    <t>Ano</t>
  </si>
  <si>
    <t>Indicador</t>
  </si>
  <si>
    <t>Categoria</t>
  </si>
  <si>
    <t>Unidade</t>
  </si>
  <si>
    <t>Valor</t>
  </si>
  <si>
    <t>Bradesco</t>
  </si>
  <si>
    <t>GRI 302-1</t>
  </si>
  <si>
    <t>Consumo Total de Energia</t>
  </si>
  <si>
    <t>Itaú</t>
  </si>
  <si>
    <t>Santander</t>
  </si>
  <si>
    <t xml:space="preserve">Gigajoules (GJ) </t>
  </si>
  <si>
    <t>%</t>
  </si>
  <si>
    <t>GRI 405-1</t>
  </si>
  <si>
    <t>GRI 2-7</t>
  </si>
  <si>
    <t>Empregados Região Norte</t>
  </si>
  <si>
    <t>Quantidade</t>
  </si>
  <si>
    <t>Empregados Região Nordeste</t>
  </si>
  <si>
    <t>Empregados Região Centro-Oeste</t>
  </si>
  <si>
    <t>Empregados Região Sudeste</t>
  </si>
  <si>
    <t>Empregados Região Sul</t>
  </si>
  <si>
    <t>Número Total de Empregados no Brasil</t>
  </si>
  <si>
    <t>Número Total de Empregados no Mundo</t>
  </si>
  <si>
    <t>Força de Trabalho por Genêro Feminino</t>
  </si>
  <si>
    <t>Força de Trabalho por Genêro Masculino</t>
  </si>
  <si>
    <t>Força de Trabalho por Cor/Etnia Branca</t>
  </si>
  <si>
    <t>Força de Trabalho por Cor/Etnia Negra</t>
  </si>
  <si>
    <t>Força de Trabalho por Cor/Etnia Amarela</t>
  </si>
  <si>
    <t>Força de Trabalho por Cor/Etnia Indígenas</t>
  </si>
  <si>
    <t>Força de Trabalho por Cor/Etnia Não Declarada</t>
  </si>
  <si>
    <t>Força de Trabalho por Faixa Etária &lt;30</t>
  </si>
  <si>
    <t>Força de Trabalho por Faixa Etária &gt;=30&lt;50</t>
  </si>
  <si>
    <t>Força de Trabalho por Faixa Etária &gt;=50</t>
  </si>
  <si>
    <t>GRI 2-7(405-1)</t>
  </si>
  <si>
    <t>tCO2e</t>
  </si>
  <si>
    <t>Emissão de GEE do (Escopo 1)</t>
  </si>
  <si>
    <t>GRI 305-1</t>
  </si>
  <si>
    <t>GRI 205-2</t>
  </si>
  <si>
    <t>Treinamentos Obrigatórios Referentes ao Combate à Corrupção Para Todos Colaboradores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</si>
</sst>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56E45-9D85-4DE1-A75C-9AC1CE1B2663}" name="Tabela1" displayName="Tabela1" ref="A1:F131" totalsRowShown="0" headerRowDxfId="0">
  <autoFilter ref="A1:F131" xr:uid="{35856E45-9D85-4DE1-A75C-9AC1CE1B2663}"/>
  <tableColumns count="6">
    <tableColumn id="1" xr3:uid="{F643EA71-C764-4D0A-8E39-F12E33D631F6}" name="Empresa"/>
    <tableColumn id="2" xr3:uid="{54002007-B011-4B77-B813-BC49D0B5D3E1}" name="Ano"/>
    <tableColumn id="3" xr3:uid="{908F809D-B6E9-4210-9636-21186BD0BA05}" name="Indicador"/>
    <tableColumn id="4" xr3:uid="{0A16D250-2E02-4F46-8EA5-6339653C7813}" name="Categoria"/>
    <tableColumn id="5" xr3:uid="{DAEE7BBC-FD1D-4A1F-A525-15DCE1A86A9F}" name="Unidade"/>
    <tableColumn id="6" xr3:uid="{D0F65CAF-0E25-438A-B3AF-74E16043B5BC}" name="Valo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95FB-EC40-40DB-AB7D-DCCC527B3E88}">
  <dimension ref="A1:F131"/>
  <sheetViews>
    <sheetView tabSelected="1" workbookViewId="0">
      <selection activeCell="H6" sqref="H6:H13"/>
    </sheetView>
  </sheetViews>
  <sheetFormatPr defaultRowHeight="15" x14ac:dyDescent="0.25"/>
  <cols>
    <col min="1" max="1" width="10.85546875" bestFit="1" customWidth="1"/>
    <col min="2" max="2" width="12.140625" customWidth="1"/>
    <col min="3" max="3" width="13.42578125" bestFit="1" customWidth="1"/>
    <col min="4" max="4" width="84.85546875" bestFit="1" customWidth="1"/>
    <col min="5" max="5" width="18.140625" bestFit="1" customWidth="1"/>
    <col min="6" max="6" width="26.28515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2024</v>
      </c>
      <c r="C2" t="s">
        <v>14</v>
      </c>
      <c r="D2" t="s">
        <v>15</v>
      </c>
      <c r="E2" t="s">
        <v>16</v>
      </c>
      <c r="F2">
        <v>3179</v>
      </c>
    </row>
    <row r="3" spans="1:6" x14ac:dyDescent="0.25">
      <c r="A3" t="s">
        <v>6</v>
      </c>
      <c r="B3">
        <v>2024</v>
      </c>
      <c r="C3" t="s">
        <v>14</v>
      </c>
      <c r="D3" t="s">
        <v>17</v>
      </c>
      <c r="E3" t="s">
        <v>16</v>
      </c>
      <c r="F3">
        <v>12067</v>
      </c>
    </row>
    <row r="4" spans="1:6" x14ac:dyDescent="0.25">
      <c r="A4" t="s">
        <v>6</v>
      </c>
      <c r="B4">
        <v>2024</v>
      </c>
      <c r="C4" t="s">
        <v>14</v>
      </c>
      <c r="D4" t="s">
        <v>18</v>
      </c>
      <c r="E4" t="s">
        <v>16</v>
      </c>
      <c r="F4">
        <v>4089</v>
      </c>
    </row>
    <row r="5" spans="1:6" x14ac:dyDescent="0.25">
      <c r="A5" t="s">
        <v>6</v>
      </c>
      <c r="B5">
        <v>2024</v>
      </c>
      <c r="C5" t="s">
        <v>14</v>
      </c>
      <c r="D5" t="s">
        <v>19</v>
      </c>
      <c r="E5" t="s">
        <v>16</v>
      </c>
      <c r="F5">
        <v>54046</v>
      </c>
    </row>
    <row r="6" spans="1:6" x14ac:dyDescent="0.25">
      <c r="A6" t="s">
        <v>6</v>
      </c>
      <c r="B6">
        <v>2024</v>
      </c>
      <c r="C6" t="s">
        <v>14</v>
      </c>
      <c r="D6" t="s">
        <v>20</v>
      </c>
      <c r="E6" t="s">
        <v>16</v>
      </c>
      <c r="F6">
        <v>9904</v>
      </c>
    </row>
    <row r="7" spans="1:6" x14ac:dyDescent="0.25">
      <c r="A7" t="s">
        <v>6</v>
      </c>
      <c r="B7">
        <v>2024</v>
      </c>
      <c r="C7" t="s">
        <v>14</v>
      </c>
      <c r="D7" t="s">
        <v>21</v>
      </c>
      <c r="E7" t="s">
        <v>16</v>
      </c>
      <c r="F7">
        <f>SUM(F2:F6)</f>
        <v>83285</v>
      </c>
    </row>
    <row r="8" spans="1:6" x14ac:dyDescent="0.25">
      <c r="A8" t="s">
        <v>9</v>
      </c>
      <c r="B8">
        <v>2024</v>
      </c>
      <c r="C8" t="s">
        <v>14</v>
      </c>
      <c r="D8" t="s">
        <v>15</v>
      </c>
      <c r="E8" t="s">
        <v>16</v>
      </c>
      <c r="F8">
        <f>83990*0.013</f>
        <v>1091.8699999999999</v>
      </c>
    </row>
    <row r="9" spans="1:6" x14ac:dyDescent="0.25">
      <c r="A9" t="s">
        <v>9</v>
      </c>
      <c r="B9">
        <v>2024</v>
      </c>
      <c r="C9" t="s">
        <v>14</v>
      </c>
      <c r="D9" t="s">
        <v>17</v>
      </c>
      <c r="E9" t="s">
        <v>16</v>
      </c>
      <c r="F9">
        <f>83990*0.05</f>
        <v>4199.5</v>
      </c>
    </row>
    <row r="10" spans="1:6" x14ac:dyDescent="0.25">
      <c r="A10" t="s">
        <v>9</v>
      </c>
      <c r="B10">
        <v>2024</v>
      </c>
      <c r="C10" t="s">
        <v>14</v>
      </c>
      <c r="D10" t="s">
        <v>18</v>
      </c>
      <c r="E10" t="s">
        <v>16</v>
      </c>
      <c r="F10">
        <f xml:space="preserve"> 83990*0.033</f>
        <v>2771.67</v>
      </c>
    </row>
    <row r="11" spans="1:6" x14ac:dyDescent="0.25">
      <c r="A11" t="s">
        <v>9</v>
      </c>
      <c r="B11">
        <v>2024</v>
      </c>
      <c r="C11" t="s">
        <v>14</v>
      </c>
      <c r="D11" t="s">
        <v>19</v>
      </c>
      <c r="E11" t="s">
        <v>16</v>
      </c>
      <c r="F11">
        <f>83990*0.84</f>
        <v>70551.599999999991</v>
      </c>
    </row>
    <row r="12" spans="1:6" x14ac:dyDescent="0.25">
      <c r="A12" t="s">
        <v>9</v>
      </c>
      <c r="B12">
        <v>2024</v>
      </c>
      <c r="C12" t="s">
        <v>14</v>
      </c>
      <c r="D12" t="s">
        <v>20</v>
      </c>
      <c r="E12" t="s">
        <v>16</v>
      </c>
      <c r="F12">
        <f>83990*0.064</f>
        <v>5375.36</v>
      </c>
    </row>
    <row r="13" spans="1:6" x14ac:dyDescent="0.25">
      <c r="A13" t="s">
        <v>9</v>
      </c>
      <c r="B13">
        <v>2024</v>
      </c>
      <c r="C13" t="s">
        <v>14</v>
      </c>
      <c r="D13" t="s">
        <v>21</v>
      </c>
      <c r="E13" t="s">
        <v>16</v>
      </c>
      <c r="F13">
        <v>83990</v>
      </c>
    </row>
    <row r="14" spans="1:6" x14ac:dyDescent="0.25">
      <c r="A14" t="s">
        <v>9</v>
      </c>
      <c r="B14">
        <v>2024</v>
      </c>
      <c r="C14" t="s">
        <v>14</v>
      </c>
      <c r="D14" t="s">
        <v>22</v>
      </c>
      <c r="E14" t="s">
        <v>16</v>
      </c>
      <c r="F14">
        <v>93185</v>
      </c>
    </row>
    <row r="15" spans="1:6" x14ac:dyDescent="0.25">
      <c r="A15" t="s">
        <v>10</v>
      </c>
      <c r="B15">
        <v>2024</v>
      </c>
      <c r="C15" t="s">
        <v>14</v>
      </c>
      <c r="D15" t="s">
        <v>15</v>
      </c>
      <c r="E15" t="s">
        <v>16</v>
      </c>
      <c r="F15">
        <v>866</v>
      </c>
    </row>
    <row r="16" spans="1:6" x14ac:dyDescent="0.25">
      <c r="A16" t="s">
        <v>10</v>
      </c>
      <c r="B16">
        <v>2024</v>
      </c>
      <c r="C16" t="s">
        <v>14</v>
      </c>
      <c r="D16" t="s">
        <v>17</v>
      </c>
      <c r="E16" t="s">
        <v>16</v>
      </c>
      <c r="F16">
        <v>4954</v>
      </c>
    </row>
    <row r="17" spans="1:6" x14ac:dyDescent="0.25">
      <c r="A17" t="s">
        <v>10</v>
      </c>
      <c r="B17">
        <v>2024</v>
      </c>
      <c r="C17" t="s">
        <v>14</v>
      </c>
      <c r="D17" t="s">
        <v>18</v>
      </c>
      <c r="E17" t="s">
        <v>16</v>
      </c>
      <c r="F17">
        <v>1633</v>
      </c>
    </row>
    <row r="18" spans="1:6" x14ac:dyDescent="0.25">
      <c r="A18" t="s">
        <v>10</v>
      </c>
      <c r="B18">
        <v>2024</v>
      </c>
      <c r="C18" t="s">
        <v>14</v>
      </c>
      <c r="D18" t="s">
        <v>19</v>
      </c>
      <c r="E18" t="s">
        <v>16</v>
      </c>
      <c r="F18">
        <v>35882</v>
      </c>
    </row>
    <row r="19" spans="1:6" x14ac:dyDescent="0.25">
      <c r="A19" t="s">
        <v>10</v>
      </c>
      <c r="B19">
        <v>2024</v>
      </c>
      <c r="C19" t="s">
        <v>14</v>
      </c>
      <c r="D19" t="s">
        <v>20</v>
      </c>
      <c r="E19" t="s">
        <v>16</v>
      </c>
      <c r="F19">
        <v>12502</v>
      </c>
    </row>
    <row r="20" spans="1:6" x14ac:dyDescent="0.25">
      <c r="A20" t="s">
        <v>10</v>
      </c>
      <c r="B20">
        <v>2024</v>
      </c>
      <c r="C20" t="s">
        <v>14</v>
      </c>
      <c r="D20" t="s">
        <v>21</v>
      </c>
      <c r="E20" t="s">
        <v>16</v>
      </c>
      <c r="F20">
        <v>55837</v>
      </c>
    </row>
    <row r="21" spans="1:6" x14ac:dyDescent="0.25">
      <c r="A21" t="s">
        <v>6</v>
      </c>
      <c r="B21">
        <v>2022</v>
      </c>
      <c r="C21" t="s">
        <v>13</v>
      </c>
      <c r="D21" t="s">
        <v>23</v>
      </c>
      <c r="E21" s="1" t="s">
        <v>12</v>
      </c>
      <c r="F21">
        <v>50.84</v>
      </c>
    </row>
    <row r="22" spans="1:6" x14ac:dyDescent="0.25">
      <c r="A22" t="s">
        <v>6</v>
      </c>
      <c r="B22">
        <v>2023</v>
      </c>
      <c r="C22" t="s">
        <v>13</v>
      </c>
      <c r="D22" t="s">
        <v>23</v>
      </c>
      <c r="E22" s="1" t="s">
        <v>12</v>
      </c>
      <c r="F22">
        <v>58.89</v>
      </c>
    </row>
    <row r="23" spans="1:6" x14ac:dyDescent="0.25">
      <c r="A23" t="s">
        <v>6</v>
      </c>
      <c r="B23">
        <v>2024</v>
      </c>
      <c r="C23" t="s">
        <v>13</v>
      </c>
      <c r="D23" t="s">
        <v>23</v>
      </c>
      <c r="E23" s="1" t="s">
        <v>12</v>
      </c>
      <c r="F23">
        <v>50.24</v>
      </c>
    </row>
    <row r="24" spans="1:6" x14ac:dyDescent="0.25">
      <c r="A24" t="s">
        <v>6</v>
      </c>
      <c r="B24">
        <v>2022</v>
      </c>
      <c r="C24" t="s">
        <v>13</v>
      </c>
      <c r="D24" t="s">
        <v>24</v>
      </c>
      <c r="E24" s="1" t="s">
        <v>12</v>
      </c>
      <c r="F24">
        <v>49.16</v>
      </c>
    </row>
    <row r="25" spans="1:6" x14ac:dyDescent="0.25">
      <c r="A25" t="s">
        <v>6</v>
      </c>
      <c r="B25">
        <v>2023</v>
      </c>
      <c r="C25" t="s">
        <v>13</v>
      </c>
      <c r="D25" t="s">
        <v>24</v>
      </c>
      <c r="E25" s="1" t="s">
        <v>12</v>
      </c>
      <c r="F25">
        <v>41.11</v>
      </c>
    </row>
    <row r="26" spans="1:6" x14ac:dyDescent="0.25">
      <c r="A26" t="s">
        <v>6</v>
      </c>
      <c r="B26">
        <v>2024</v>
      </c>
      <c r="C26" t="s">
        <v>13</v>
      </c>
      <c r="D26" t="s">
        <v>24</v>
      </c>
      <c r="E26" s="1" t="s">
        <v>12</v>
      </c>
      <c r="F26">
        <v>49.76</v>
      </c>
    </row>
    <row r="27" spans="1:6" x14ac:dyDescent="0.25">
      <c r="A27" t="s">
        <v>6</v>
      </c>
      <c r="B27">
        <v>2024</v>
      </c>
      <c r="C27" t="s">
        <v>13</v>
      </c>
      <c r="D27" t="s">
        <v>25</v>
      </c>
      <c r="E27" s="1" t="s">
        <v>12</v>
      </c>
      <c r="F27">
        <v>68.33</v>
      </c>
    </row>
    <row r="28" spans="1:6" x14ac:dyDescent="0.25">
      <c r="A28" t="s">
        <v>6</v>
      </c>
      <c r="B28">
        <v>2024</v>
      </c>
      <c r="C28" t="s">
        <v>13</v>
      </c>
      <c r="D28" t="s">
        <v>26</v>
      </c>
      <c r="E28" s="1" t="s">
        <v>12</v>
      </c>
      <c r="F28">
        <v>29.62</v>
      </c>
    </row>
    <row r="29" spans="1:6" x14ac:dyDescent="0.25">
      <c r="A29" t="s">
        <v>6</v>
      </c>
      <c r="B29">
        <v>2024</v>
      </c>
      <c r="C29" t="s">
        <v>13</v>
      </c>
      <c r="D29" t="s">
        <v>27</v>
      </c>
      <c r="E29" s="1" t="s">
        <v>12</v>
      </c>
      <c r="F29">
        <v>1.44</v>
      </c>
    </row>
    <row r="30" spans="1:6" x14ac:dyDescent="0.25">
      <c r="A30" t="s">
        <v>6</v>
      </c>
      <c r="B30">
        <v>2024</v>
      </c>
      <c r="C30" t="s">
        <v>13</v>
      </c>
      <c r="D30" t="s">
        <v>28</v>
      </c>
      <c r="E30" s="1" t="s">
        <v>12</v>
      </c>
      <c r="F30">
        <v>0.14000000000000001</v>
      </c>
    </row>
    <row r="31" spans="1:6" x14ac:dyDescent="0.25">
      <c r="A31" t="s">
        <v>6</v>
      </c>
      <c r="B31">
        <v>2024</v>
      </c>
      <c r="C31" t="s">
        <v>13</v>
      </c>
      <c r="D31" t="s">
        <v>29</v>
      </c>
      <c r="E31" s="1" t="s">
        <v>12</v>
      </c>
      <c r="F31">
        <v>0.47</v>
      </c>
    </row>
    <row r="32" spans="1:6" x14ac:dyDescent="0.25">
      <c r="A32" t="s">
        <v>6</v>
      </c>
      <c r="B32">
        <v>2023</v>
      </c>
      <c r="C32" t="s">
        <v>13</v>
      </c>
      <c r="D32" t="s">
        <v>25</v>
      </c>
      <c r="E32" s="1" t="s">
        <v>12</v>
      </c>
    </row>
    <row r="33" spans="1:6" x14ac:dyDescent="0.25">
      <c r="A33" t="s">
        <v>6</v>
      </c>
      <c r="B33">
        <v>2023</v>
      </c>
      <c r="C33" t="s">
        <v>13</v>
      </c>
      <c r="D33" t="s">
        <v>26</v>
      </c>
      <c r="E33" s="1" t="s">
        <v>12</v>
      </c>
    </row>
    <row r="34" spans="1:6" x14ac:dyDescent="0.25">
      <c r="A34" t="s">
        <v>6</v>
      </c>
      <c r="B34">
        <v>2023</v>
      </c>
      <c r="C34" t="s">
        <v>13</v>
      </c>
      <c r="D34" t="s">
        <v>27</v>
      </c>
      <c r="E34" s="1" t="s">
        <v>12</v>
      </c>
    </row>
    <row r="35" spans="1:6" x14ac:dyDescent="0.25">
      <c r="A35" t="s">
        <v>6</v>
      </c>
      <c r="B35">
        <v>2023</v>
      </c>
      <c r="C35" t="s">
        <v>13</v>
      </c>
      <c r="D35" t="s">
        <v>28</v>
      </c>
      <c r="E35" s="1" t="s">
        <v>12</v>
      </c>
    </row>
    <row r="36" spans="1:6" x14ac:dyDescent="0.25">
      <c r="A36" t="s">
        <v>6</v>
      </c>
      <c r="B36">
        <v>2023</v>
      </c>
      <c r="C36" t="s">
        <v>13</v>
      </c>
      <c r="D36" t="s">
        <v>29</v>
      </c>
      <c r="E36" s="1" t="s">
        <v>12</v>
      </c>
    </row>
    <row r="37" spans="1:6" x14ac:dyDescent="0.25">
      <c r="A37" t="s">
        <v>6</v>
      </c>
      <c r="B37">
        <v>2022</v>
      </c>
      <c r="C37" t="s">
        <v>13</v>
      </c>
      <c r="D37" t="s">
        <v>25</v>
      </c>
      <c r="E37" s="1" t="s">
        <v>12</v>
      </c>
      <c r="F37">
        <v>69.86</v>
      </c>
    </row>
    <row r="38" spans="1:6" x14ac:dyDescent="0.25">
      <c r="A38" t="s">
        <v>6</v>
      </c>
      <c r="B38">
        <v>2022</v>
      </c>
      <c r="C38" t="s">
        <v>13</v>
      </c>
      <c r="D38" t="s">
        <v>26</v>
      </c>
      <c r="E38" s="1" t="s">
        <v>12</v>
      </c>
      <c r="F38">
        <v>28.11</v>
      </c>
    </row>
    <row r="39" spans="1:6" x14ac:dyDescent="0.25">
      <c r="A39" t="s">
        <v>6</v>
      </c>
      <c r="B39">
        <v>2022</v>
      </c>
      <c r="C39" t="s">
        <v>13</v>
      </c>
      <c r="D39" t="s">
        <v>27</v>
      </c>
      <c r="E39" s="1" t="s">
        <v>12</v>
      </c>
      <c r="F39">
        <v>1.28</v>
      </c>
    </row>
    <row r="40" spans="1:6" x14ac:dyDescent="0.25">
      <c r="A40" t="s">
        <v>6</v>
      </c>
      <c r="B40">
        <v>2022</v>
      </c>
      <c r="C40" t="s">
        <v>13</v>
      </c>
      <c r="D40" t="s">
        <v>28</v>
      </c>
      <c r="E40" s="1" t="s">
        <v>12</v>
      </c>
      <c r="F40">
        <v>0.14000000000000001</v>
      </c>
    </row>
    <row r="41" spans="1:6" x14ac:dyDescent="0.25">
      <c r="A41" t="s">
        <v>6</v>
      </c>
      <c r="B41">
        <v>2022</v>
      </c>
      <c r="C41" t="s">
        <v>13</v>
      </c>
      <c r="D41" t="s">
        <v>29</v>
      </c>
      <c r="E41" s="1" t="s">
        <v>12</v>
      </c>
      <c r="F41">
        <v>0.61</v>
      </c>
    </row>
    <row r="42" spans="1:6" x14ac:dyDescent="0.25">
      <c r="A42" t="s">
        <v>6</v>
      </c>
      <c r="B42">
        <v>2024</v>
      </c>
      <c r="C42" t="s">
        <v>13</v>
      </c>
      <c r="D42" t="s">
        <v>30</v>
      </c>
      <c r="E42" s="1" t="s">
        <v>12</v>
      </c>
      <c r="F42">
        <v>28.67</v>
      </c>
    </row>
    <row r="43" spans="1:6" x14ac:dyDescent="0.25">
      <c r="A43" t="s">
        <v>6</v>
      </c>
      <c r="B43">
        <v>2024</v>
      </c>
      <c r="C43" t="s">
        <v>13</v>
      </c>
      <c r="D43" t="s">
        <v>31</v>
      </c>
      <c r="E43" s="1" t="s">
        <v>12</v>
      </c>
      <c r="F43">
        <v>61.53</v>
      </c>
    </row>
    <row r="44" spans="1:6" x14ac:dyDescent="0.25">
      <c r="A44" t="s">
        <v>6</v>
      </c>
      <c r="B44">
        <v>2024</v>
      </c>
      <c r="C44" t="s">
        <v>13</v>
      </c>
      <c r="D44" t="s">
        <v>32</v>
      </c>
      <c r="E44" s="1" t="s">
        <v>12</v>
      </c>
      <c r="F44">
        <v>9.8000000000000007</v>
      </c>
    </row>
    <row r="45" spans="1:6" x14ac:dyDescent="0.25">
      <c r="A45" t="s">
        <v>6</v>
      </c>
      <c r="B45">
        <v>2023</v>
      </c>
      <c r="C45" t="s">
        <v>13</v>
      </c>
      <c r="D45" t="s">
        <v>30</v>
      </c>
      <c r="E45" s="1" t="s">
        <v>12</v>
      </c>
      <c r="F45">
        <v>30.25</v>
      </c>
    </row>
    <row r="46" spans="1:6" x14ac:dyDescent="0.25">
      <c r="A46" t="s">
        <v>6</v>
      </c>
      <c r="B46">
        <v>2023</v>
      </c>
      <c r="C46" t="s">
        <v>13</v>
      </c>
      <c r="D46" t="s">
        <v>31</v>
      </c>
      <c r="E46" s="1" t="s">
        <v>12</v>
      </c>
      <c r="F46">
        <v>59.74</v>
      </c>
    </row>
    <row r="47" spans="1:6" x14ac:dyDescent="0.25">
      <c r="A47" t="s">
        <v>6</v>
      </c>
      <c r="B47">
        <v>2023</v>
      </c>
      <c r="C47" t="s">
        <v>13</v>
      </c>
      <c r="D47" t="s">
        <v>32</v>
      </c>
      <c r="E47" s="1" t="s">
        <v>12</v>
      </c>
      <c r="F47">
        <v>10.01</v>
      </c>
    </row>
    <row r="48" spans="1:6" x14ac:dyDescent="0.25">
      <c r="A48" t="s">
        <v>6</v>
      </c>
      <c r="B48">
        <v>2022</v>
      </c>
      <c r="C48" t="s">
        <v>13</v>
      </c>
      <c r="D48" t="s">
        <v>30</v>
      </c>
      <c r="E48" s="1" t="s">
        <v>12</v>
      </c>
      <c r="F48">
        <v>30.16</v>
      </c>
    </row>
    <row r="49" spans="1:6" x14ac:dyDescent="0.25">
      <c r="A49" t="s">
        <v>6</v>
      </c>
      <c r="B49">
        <v>2022</v>
      </c>
      <c r="C49" t="s">
        <v>13</v>
      </c>
      <c r="D49" t="s">
        <v>31</v>
      </c>
      <c r="E49" s="1" t="s">
        <v>12</v>
      </c>
      <c r="F49">
        <v>60.33</v>
      </c>
    </row>
    <row r="50" spans="1:6" x14ac:dyDescent="0.25">
      <c r="A50" t="s">
        <v>6</v>
      </c>
      <c r="B50">
        <v>2022</v>
      </c>
      <c r="C50" t="s">
        <v>13</v>
      </c>
      <c r="D50" t="s">
        <v>32</v>
      </c>
      <c r="E50" s="1" t="s">
        <v>12</v>
      </c>
      <c r="F50">
        <v>9.51</v>
      </c>
    </row>
    <row r="51" spans="1:6" x14ac:dyDescent="0.25">
      <c r="A51" t="s">
        <v>9</v>
      </c>
      <c r="B51">
        <v>2022</v>
      </c>
      <c r="C51" t="s">
        <v>33</v>
      </c>
      <c r="D51" t="s">
        <v>23</v>
      </c>
      <c r="E51" s="1" t="s">
        <v>12</v>
      </c>
      <c r="F51">
        <v>54.8</v>
      </c>
    </row>
    <row r="52" spans="1:6" x14ac:dyDescent="0.25">
      <c r="A52" t="s">
        <v>9</v>
      </c>
      <c r="B52">
        <v>2023</v>
      </c>
      <c r="C52" t="s">
        <v>33</v>
      </c>
      <c r="D52" t="s">
        <v>23</v>
      </c>
      <c r="E52" s="1" t="s">
        <v>12</v>
      </c>
      <c r="F52">
        <v>54.5</v>
      </c>
    </row>
    <row r="53" spans="1:6" x14ac:dyDescent="0.25">
      <c r="A53" t="s">
        <v>9</v>
      </c>
      <c r="B53">
        <v>2024</v>
      </c>
      <c r="C53" t="s">
        <v>33</v>
      </c>
      <c r="D53" t="s">
        <v>23</v>
      </c>
      <c r="E53" s="1" t="s">
        <v>12</v>
      </c>
      <c r="F53">
        <v>53.9</v>
      </c>
    </row>
    <row r="54" spans="1:6" x14ac:dyDescent="0.25">
      <c r="A54" t="s">
        <v>9</v>
      </c>
      <c r="B54">
        <v>2022</v>
      </c>
      <c r="C54" t="s">
        <v>33</v>
      </c>
      <c r="D54" t="s">
        <v>24</v>
      </c>
      <c r="E54" s="1" t="s">
        <v>12</v>
      </c>
      <c r="F54" s="2">
        <v>45.2</v>
      </c>
    </row>
    <row r="55" spans="1:6" x14ac:dyDescent="0.25">
      <c r="A55" t="s">
        <v>9</v>
      </c>
      <c r="B55">
        <v>2023</v>
      </c>
      <c r="C55" t="s">
        <v>33</v>
      </c>
      <c r="D55" t="s">
        <v>24</v>
      </c>
      <c r="E55" s="1" t="s">
        <v>12</v>
      </c>
      <c r="F55" s="2">
        <v>45.5</v>
      </c>
    </row>
    <row r="56" spans="1:6" x14ac:dyDescent="0.25">
      <c r="A56" t="s">
        <v>9</v>
      </c>
      <c r="B56">
        <v>2024</v>
      </c>
      <c r="C56" t="s">
        <v>33</v>
      </c>
      <c r="D56" t="s">
        <v>24</v>
      </c>
      <c r="E56" s="1" t="s">
        <v>12</v>
      </c>
      <c r="F56" s="2">
        <v>46.1</v>
      </c>
    </row>
    <row r="57" spans="1:6" x14ac:dyDescent="0.25">
      <c r="A57" t="s">
        <v>9</v>
      </c>
      <c r="B57">
        <v>2024</v>
      </c>
      <c r="C57" t="s">
        <v>13</v>
      </c>
      <c r="D57" t="s">
        <v>25</v>
      </c>
      <c r="E57" s="1" t="s">
        <v>12</v>
      </c>
      <c r="F57">
        <v>67.8</v>
      </c>
    </row>
    <row r="58" spans="1:6" x14ac:dyDescent="0.25">
      <c r="A58" t="s">
        <v>9</v>
      </c>
      <c r="B58">
        <v>2024</v>
      </c>
      <c r="C58" t="s">
        <v>13</v>
      </c>
      <c r="D58" t="s">
        <v>26</v>
      </c>
      <c r="E58" s="1" t="s">
        <v>12</v>
      </c>
      <c r="F58">
        <v>28.9</v>
      </c>
    </row>
    <row r="59" spans="1:6" x14ac:dyDescent="0.25">
      <c r="A59" t="s">
        <v>9</v>
      </c>
      <c r="B59">
        <v>2024</v>
      </c>
      <c r="C59" t="s">
        <v>13</v>
      </c>
      <c r="D59" t="s">
        <v>27</v>
      </c>
      <c r="E59" s="1" t="s">
        <v>12</v>
      </c>
      <c r="F59">
        <v>3</v>
      </c>
    </row>
    <row r="60" spans="1:6" x14ac:dyDescent="0.25">
      <c r="A60" t="s">
        <v>9</v>
      </c>
      <c r="B60">
        <v>2024</v>
      </c>
      <c r="C60" t="s">
        <v>13</v>
      </c>
      <c r="D60" t="s">
        <v>28</v>
      </c>
      <c r="E60" s="1" t="s">
        <v>12</v>
      </c>
      <c r="F60">
        <v>0.2</v>
      </c>
    </row>
    <row r="61" spans="1:6" x14ac:dyDescent="0.25">
      <c r="A61" t="s">
        <v>9</v>
      </c>
      <c r="B61">
        <v>2024</v>
      </c>
      <c r="C61" t="s">
        <v>13</v>
      </c>
      <c r="D61" t="s">
        <v>29</v>
      </c>
      <c r="E61" s="1" t="s">
        <v>12</v>
      </c>
      <c r="F61">
        <v>0.1</v>
      </c>
    </row>
    <row r="62" spans="1:6" x14ac:dyDescent="0.25">
      <c r="A62" t="s">
        <v>9</v>
      </c>
      <c r="B62">
        <v>2023</v>
      </c>
      <c r="C62" t="s">
        <v>13</v>
      </c>
      <c r="D62" t="s">
        <v>25</v>
      </c>
      <c r="E62" s="1" t="s">
        <v>12</v>
      </c>
      <c r="F62">
        <v>68.400000000000006</v>
      </c>
    </row>
    <row r="63" spans="1:6" x14ac:dyDescent="0.25">
      <c r="A63" t="s">
        <v>9</v>
      </c>
      <c r="B63">
        <v>2023</v>
      </c>
      <c r="C63" t="s">
        <v>13</v>
      </c>
      <c r="D63" t="s">
        <v>26</v>
      </c>
      <c r="E63" s="1" t="s">
        <v>12</v>
      </c>
      <c r="F63">
        <v>27.5</v>
      </c>
    </row>
    <row r="64" spans="1:6" x14ac:dyDescent="0.25">
      <c r="A64" t="s">
        <v>9</v>
      </c>
      <c r="B64">
        <v>2023</v>
      </c>
      <c r="C64" t="s">
        <v>13</v>
      </c>
      <c r="D64" t="s">
        <v>27</v>
      </c>
      <c r="E64" s="1" t="s">
        <v>12</v>
      </c>
      <c r="F64">
        <v>2.9</v>
      </c>
    </row>
    <row r="65" spans="1:6" x14ac:dyDescent="0.25">
      <c r="A65" t="s">
        <v>9</v>
      </c>
      <c r="B65">
        <v>2023</v>
      </c>
      <c r="C65" t="s">
        <v>13</v>
      </c>
      <c r="D65" t="s">
        <v>28</v>
      </c>
      <c r="E65" s="1" t="s">
        <v>12</v>
      </c>
      <c r="F65">
        <v>0.2</v>
      </c>
    </row>
    <row r="66" spans="1:6" x14ac:dyDescent="0.25">
      <c r="A66" t="s">
        <v>9</v>
      </c>
      <c r="B66">
        <v>2023</v>
      </c>
      <c r="C66" t="s">
        <v>13</v>
      </c>
      <c r="D66" t="s">
        <v>29</v>
      </c>
      <c r="E66" s="1" t="s">
        <v>12</v>
      </c>
      <c r="F66">
        <v>1</v>
      </c>
    </row>
    <row r="67" spans="1:6" x14ac:dyDescent="0.25">
      <c r="A67" t="s">
        <v>9</v>
      </c>
      <c r="B67">
        <v>2022</v>
      </c>
      <c r="C67" t="s">
        <v>13</v>
      </c>
      <c r="D67" t="s">
        <v>25</v>
      </c>
      <c r="E67" s="1" t="s">
        <v>12</v>
      </c>
      <c r="F67">
        <v>69.400000000000006</v>
      </c>
    </row>
    <row r="68" spans="1:6" x14ac:dyDescent="0.25">
      <c r="A68" t="s">
        <v>9</v>
      </c>
      <c r="B68">
        <v>2022</v>
      </c>
      <c r="C68" t="s">
        <v>13</v>
      </c>
      <c r="D68" t="s">
        <v>26</v>
      </c>
      <c r="E68" s="1" t="s">
        <v>12</v>
      </c>
      <c r="F68">
        <v>26.2</v>
      </c>
    </row>
    <row r="69" spans="1:6" x14ac:dyDescent="0.25">
      <c r="A69" t="s">
        <v>9</v>
      </c>
      <c r="B69">
        <v>2022</v>
      </c>
      <c r="C69" t="s">
        <v>13</v>
      </c>
      <c r="D69" t="s">
        <v>27</v>
      </c>
      <c r="E69" s="1" t="s">
        <v>12</v>
      </c>
      <c r="F69">
        <v>2.9</v>
      </c>
    </row>
    <row r="70" spans="1:6" x14ac:dyDescent="0.25">
      <c r="A70" t="s">
        <v>9</v>
      </c>
      <c r="B70">
        <v>2022</v>
      </c>
      <c r="C70" t="s">
        <v>13</v>
      </c>
      <c r="D70" t="s">
        <v>28</v>
      </c>
      <c r="E70" s="1" t="s">
        <v>12</v>
      </c>
      <c r="F70">
        <v>0.2</v>
      </c>
    </row>
    <row r="71" spans="1:6" x14ac:dyDescent="0.25">
      <c r="A71" t="s">
        <v>9</v>
      </c>
      <c r="B71">
        <v>2022</v>
      </c>
      <c r="C71" t="s">
        <v>13</v>
      </c>
      <c r="D71" t="s">
        <v>29</v>
      </c>
      <c r="E71" s="1" t="s">
        <v>12</v>
      </c>
      <c r="F71">
        <v>1.2</v>
      </c>
    </row>
    <row r="72" spans="1:6" x14ac:dyDescent="0.25">
      <c r="A72" t="s">
        <v>9</v>
      </c>
      <c r="B72">
        <v>2024</v>
      </c>
      <c r="C72" t="s">
        <v>13</v>
      </c>
      <c r="D72" t="s">
        <v>30</v>
      </c>
      <c r="E72" s="1" t="s">
        <v>12</v>
      </c>
      <c r="F72">
        <v>33.6</v>
      </c>
    </row>
    <row r="73" spans="1:6" x14ac:dyDescent="0.25">
      <c r="A73" t="s">
        <v>9</v>
      </c>
      <c r="B73">
        <v>2024</v>
      </c>
      <c r="C73" t="s">
        <v>13</v>
      </c>
      <c r="D73" t="s">
        <v>31</v>
      </c>
      <c r="E73" s="1" t="s">
        <v>12</v>
      </c>
      <c r="F73">
        <v>60.4</v>
      </c>
    </row>
    <row r="74" spans="1:6" x14ac:dyDescent="0.25">
      <c r="A74" t="s">
        <v>9</v>
      </c>
      <c r="B74">
        <v>2024</v>
      </c>
      <c r="C74" t="s">
        <v>13</v>
      </c>
      <c r="D74" t="s">
        <v>32</v>
      </c>
      <c r="E74" s="1" t="s">
        <v>12</v>
      </c>
      <c r="F74">
        <v>6</v>
      </c>
    </row>
    <row r="75" spans="1:6" x14ac:dyDescent="0.25">
      <c r="A75" t="s">
        <v>9</v>
      </c>
      <c r="B75">
        <v>2023</v>
      </c>
      <c r="C75" t="s">
        <v>13</v>
      </c>
      <c r="D75" t="s">
        <v>30</v>
      </c>
      <c r="E75" s="1" t="s">
        <v>12</v>
      </c>
      <c r="F75">
        <v>35.4</v>
      </c>
    </row>
    <row r="76" spans="1:6" x14ac:dyDescent="0.25">
      <c r="A76" t="s">
        <v>9</v>
      </c>
      <c r="B76">
        <v>2023</v>
      </c>
      <c r="C76" t="s">
        <v>13</v>
      </c>
      <c r="D76" t="s">
        <v>31</v>
      </c>
      <c r="E76" s="1" t="s">
        <v>12</v>
      </c>
      <c r="F76">
        <v>58.8</v>
      </c>
    </row>
    <row r="77" spans="1:6" x14ac:dyDescent="0.25">
      <c r="A77" t="s">
        <v>9</v>
      </c>
      <c r="B77">
        <v>2023</v>
      </c>
      <c r="C77" t="s">
        <v>13</v>
      </c>
      <c r="D77" t="s">
        <v>32</v>
      </c>
      <c r="E77" s="1" t="s">
        <v>12</v>
      </c>
      <c r="F77">
        <v>5.7</v>
      </c>
    </row>
    <row r="78" spans="1:6" x14ac:dyDescent="0.25">
      <c r="A78" t="s">
        <v>9</v>
      </c>
      <c r="B78">
        <v>2022</v>
      </c>
      <c r="C78" t="s">
        <v>13</v>
      </c>
      <c r="D78" t="s">
        <v>30</v>
      </c>
      <c r="E78" s="1" t="s">
        <v>12</v>
      </c>
      <c r="F78">
        <v>36.5</v>
      </c>
    </row>
    <row r="79" spans="1:6" x14ac:dyDescent="0.25">
      <c r="A79" t="s">
        <v>9</v>
      </c>
      <c r="B79">
        <v>2022</v>
      </c>
      <c r="C79" t="s">
        <v>13</v>
      </c>
      <c r="D79" t="s">
        <v>31</v>
      </c>
      <c r="E79" s="1" t="s">
        <v>12</v>
      </c>
      <c r="F79">
        <v>57.5</v>
      </c>
    </row>
    <row r="80" spans="1:6" x14ac:dyDescent="0.25">
      <c r="A80" t="s">
        <v>9</v>
      </c>
      <c r="B80">
        <v>2022</v>
      </c>
      <c r="C80" t="s">
        <v>13</v>
      </c>
      <c r="D80" t="s">
        <v>32</v>
      </c>
      <c r="E80" s="1" t="s">
        <v>12</v>
      </c>
      <c r="F80">
        <v>6</v>
      </c>
    </row>
    <row r="81" spans="1:6" x14ac:dyDescent="0.25">
      <c r="A81" t="s">
        <v>10</v>
      </c>
      <c r="B81">
        <v>2022</v>
      </c>
      <c r="C81" t="s">
        <v>13</v>
      </c>
      <c r="D81" t="s">
        <v>23</v>
      </c>
      <c r="E81" s="1" t="s">
        <v>12</v>
      </c>
      <c r="F81">
        <v>52.1</v>
      </c>
    </row>
    <row r="82" spans="1:6" x14ac:dyDescent="0.25">
      <c r="A82" t="s">
        <v>10</v>
      </c>
      <c r="B82">
        <v>2023</v>
      </c>
      <c r="C82" t="s">
        <v>13</v>
      </c>
      <c r="D82" t="s">
        <v>23</v>
      </c>
      <c r="E82" s="1" t="s">
        <v>12</v>
      </c>
      <c r="F82">
        <v>54.5</v>
      </c>
    </row>
    <row r="83" spans="1:6" x14ac:dyDescent="0.25">
      <c r="A83" t="s">
        <v>10</v>
      </c>
      <c r="B83">
        <v>2024</v>
      </c>
      <c r="C83" t="s">
        <v>13</v>
      </c>
      <c r="D83" t="s">
        <v>23</v>
      </c>
      <c r="E83" s="1" t="s">
        <v>12</v>
      </c>
      <c r="F83">
        <v>53.7</v>
      </c>
    </row>
    <row r="84" spans="1:6" x14ac:dyDescent="0.25">
      <c r="A84" t="s">
        <v>10</v>
      </c>
      <c r="B84">
        <v>2022</v>
      </c>
      <c r="C84" t="s">
        <v>13</v>
      </c>
      <c r="D84" t="s">
        <v>24</v>
      </c>
      <c r="E84" s="1" t="s">
        <v>12</v>
      </c>
      <c r="F84">
        <v>47.9</v>
      </c>
    </row>
    <row r="85" spans="1:6" x14ac:dyDescent="0.25">
      <c r="A85" t="s">
        <v>10</v>
      </c>
      <c r="B85">
        <v>2023</v>
      </c>
      <c r="C85" t="s">
        <v>13</v>
      </c>
      <c r="D85" t="s">
        <v>24</v>
      </c>
      <c r="E85" s="1" t="s">
        <v>12</v>
      </c>
      <c r="F85">
        <v>45.5</v>
      </c>
    </row>
    <row r="86" spans="1:6" x14ac:dyDescent="0.25">
      <c r="A86" t="s">
        <v>10</v>
      </c>
      <c r="B86">
        <v>2024</v>
      </c>
      <c r="C86" t="s">
        <v>13</v>
      </c>
      <c r="D86" t="s">
        <v>24</v>
      </c>
      <c r="E86" s="1" t="s">
        <v>12</v>
      </c>
      <c r="F86">
        <v>46.3</v>
      </c>
    </row>
    <row r="87" spans="1:6" x14ac:dyDescent="0.25">
      <c r="A87" t="s">
        <v>10</v>
      </c>
      <c r="B87">
        <v>2024</v>
      </c>
      <c r="C87" t="s">
        <v>13</v>
      </c>
      <c r="D87" t="s">
        <v>25</v>
      </c>
      <c r="E87" s="1" t="s">
        <v>12</v>
      </c>
      <c r="F87">
        <v>61.1</v>
      </c>
    </row>
    <row r="88" spans="1:6" x14ac:dyDescent="0.25">
      <c r="A88" t="s">
        <v>10</v>
      </c>
      <c r="B88">
        <v>2024</v>
      </c>
      <c r="C88" t="s">
        <v>13</v>
      </c>
      <c r="D88" t="s">
        <v>26</v>
      </c>
      <c r="E88" s="1" t="s">
        <v>12</v>
      </c>
      <c r="F88">
        <v>36.6</v>
      </c>
    </row>
    <row r="89" spans="1:6" x14ac:dyDescent="0.25">
      <c r="A89" t="s">
        <v>10</v>
      </c>
      <c r="B89">
        <v>2024</v>
      </c>
      <c r="C89" t="s">
        <v>13</v>
      </c>
      <c r="D89" t="s">
        <v>27</v>
      </c>
      <c r="E89" s="1" t="s">
        <v>12</v>
      </c>
      <c r="F89">
        <v>2.1</v>
      </c>
    </row>
    <row r="90" spans="1:6" x14ac:dyDescent="0.25">
      <c r="A90" t="s">
        <v>10</v>
      </c>
      <c r="B90">
        <v>2024</v>
      </c>
      <c r="C90" t="s">
        <v>13</v>
      </c>
      <c r="D90" t="s">
        <v>28</v>
      </c>
      <c r="E90" s="1" t="s">
        <v>12</v>
      </c>
      <c r="F90">
        <v>0.2</v>
      </c>
    </row>
    <row r="91" spans="1:6" x14ac:dyDescent="0.25">
      <c r="A91" t="s">
        <v>10</v>
      </c>
      <c r="B91">
        <v>2024</v>
      </c>
      <c r="C91" t="s">
        <v>13</v>
      </c>
      <c r="D91" t="s">
        <v>29</v>
      </c>
      <c r="E91" s="1" t="s">
        <v>12</v>
      </c>
      <c r="F91">
        <v>0</v>
      </c>
    </row>
    <row r="92" spans="1:6" x14ac:dyDescent="0.25">
      <c r="A92" t="s">
        <v>10</v>
      </c>
      <c r="B92">
        <v>2023</v>
      </c>
      <c r="C92" t="s">
        <v>13</v>
      </c>
      <c r="D92" t="s">
        <v>25</v>
      </c>
      <c r="E92" s="1" t="s">
        <v>12</v>
      </c>
      <c r="F92">
        <v>61.9</v>
      </c>
    </row>
    <row r="93" spans="1:6" x14ac:dyDescent="0.25">
      <c r="A93" t="s">
        <v>10</v>
      </c>
      <c r="B93">
        <v>2023</v>
      </c>
      <c r="C93" t="s">
        <v>13</v>
      </c>
      <c r="D93" t="s">
        <v>26</v>
      </c>
      <c r="E93" s="1" t="s">
        <v>12</v>
      </c>
      <c r="F93">
        <v>35.4</v>
      </c>
    </row>
    <row r="94" spans="1:6" x14ac:dyDescent="0.25">
      <c r="A94" t="s">
        <v>10</v>
      </c>
      <c r="B94">
        <v>2023</v>
      </c>
      <c r="C94" t="s">
        <v>13</v>
      </c>
      <c r="D94" t="s">
        <v>27</v>
      </c>
      <c r="E94" s="1" t="s">
        <v>12</v>
      </c>
      <c r="F94">
        <v>2.2000000000000002</v>
      </c>
    </row>
    <row r="95" spans="1:6" x14ac:dyDescent="0.25">
      <c r="A95" t="s">
        <v>10</v>
      </c>
      <c r="B95">
        <v>2023</v>
      </c>
      <c r="C95" t="s">
        <v>13</v>
      </c>
      <c r="D95" t="s">
        <v>28</v>
      </c>
      <c r="E95" s="1" t="s">
        <v>12</v>
      </c>
      <c r="F95">
        <v>0.2</v>
      </c>
    </row>
    <row r="96" spans="1:6" x14ac:dyDescent="0.25">
      <c r="A96" t="s">
        <v>10</v>
      </c>
      <c r="B96">
        <v>2023</v>
      </c>
      <c r="C96" t="s">
        <v>13</v>
      </c>
      <c r="D96" t="s">
        <v>29</v>
      </c>
      <c r="E96" s="1" t="s">
        <v>12</v>
      </c>
      <c r="F96">
        <v>0.4</v>
      </c>
    </row>
    <row r="97" spans="1:6" x14ac:dyDescent="0.25">
      <c r="A97" t="s">
        <v>10</v>
      </c>
      <c r="B97">
        <v>2022</v>
      </c>
      <c r="C97" t="s">
        <v>13</v>
      </c>
      <c r="D97" t="s">
        <v>25</v>
      </c>
      <c r="E97" s="1" t="s">
        <v>12</v>
      </c>
      <c r="F97">
        <v>66.599999999999994</v>
      </c>
    </row>
    <row r="98" spans="1:6" x14ac:dyDescent="0.25">
      <c r="A98" t="s">
        <v>10</v>
      </c>
      <c r="B98">
        <v>2022</v>
      </c>
      <c r="C98" t="s">
        <v>13</v>
      </c>
      <c r="D98" t="s">
        <v>26</v>
      </c>
      <c r="E98" s="1" t="s">
        <v>12</v>
      </c>
      <c r="F98">
        <v>30.4</v>
      </c>
    </row>
    <row r="99" spans="1:6" x14ac:dyDescent="0.25">
      <c r="A99" t="s">
        <v>10</v>
      </c>
      <c r="B99">
        <v>2022</v>
      </c>
      <c r="C99" t="s">
        <v>13</v>
      </c>
      <c r="D99" t="s">
        <v>27</v>
      </c>
      <c r="E99" s="1" t="s">
        <v>12</v>
      </c>
      <c r="F99">
        <v>2.4</v>
      </c>
    </row>
    <row r="100" spans="1:6" x14ac:dyDescent="0.25">
      <c r="A100" t="s">
        <v>10</v>
      </c>
      <c r="B100">
        <v>2022</v>
      </c>
      <c r="C100" t="s">
        <v>13</v>
      </c>
      <c r="D100" t="s">
        <v>28</v>
      </c>
      <c r="E100" s="1" t="s">
        <v>12</v>
      </c>
      <c r="F100">
        <v>0.1</v>
      </c>
    </row>
    <row r="101" spans="1:6" x14ac:dyDescent="0.25">
      <c r="A101" t="s">
        <v>10</v>
      </c>
      <c r="B101">
        <v>2022</v>
      </c>
      <c r="C101" t="s">
        <v>13</v>
      </c>
      <c r="D101" t="s">
        <v>29</v>
      </c>
      <c r="E101" s="1" t="s">
        <v>12</v>
      </c>
      <c r="F101">
        <v>0.4</v>
      </c>
    </row>
    <row r="102" spans="1:6" x14ac:dyDescent="0.25">
      <c r="A102" t="s">
        <v>10</v>
      </c>
      <c r="B102">
        <v>2024</v>
      </c>
      <c r="C102" t="s">
        <v>33</v>
      </c>
      <c r="D102" t="s">
        <v>30</v>
      </c>
      <c r="E102" s="1" t="s">
        <v>12</v>
      </c>
      <c r="F102">
        <v>18527</v>
      </c>
    </row>
    <row r="103" spans="1:6" x14ac:dyDescent="0.25">
      <c r="A103" t="s">
        <v>10</v>
      </c>
      <c r="B103">
        <v>2024</v>
      </c>
      <c r="C103" t="s">
        <v>33</v>
      </c>
      <c r="D103" t="s">
        <v>31</v>
      </c>
      <c r="E103" s="1" t="s">
        <v>12</v>
      </c>
      <c r="F103">
        <v>32554</v>
      </c>
    </row>
    <row r="104" spans="1:6" x14ac:dyDescent="0.25">
      <c r="A104" t="s">
        <v>10</v>
      </c>
      <c r="B104">
        <v>2024</v>
      </c>
      <c r="C104" t="s">
        <v>33</v>
      </c>
      <c r="D104" t="s">
        <v>32</v>
      </c>
      <c r="E104" s="1" t="s">
        <v>12</v>
      </c>
      <c r="F104">
        <v>4756</v>
      </c>
    </row>
    <row r="105" spans="1:6" x14ac:dyDescent="0.25">
      <c r="A105" t="s">
        <v>10</v>
      </c>
      <c r="B105">
        <v>2023</v>
      </c>
      <c r="C105" t="s">
        <v>33</v>
      </c>
      <c r="D105" t="s">
        <v>30</v>
      </c>
      <c r="E105" s="1" t="s">
        <v>12</v>
      </c>
      <c r="F105">
        <v>19317</v>
      </c>
    </row>
    <row r="106" spans="1:6" x14ac:dyDescent="0.25">
      <c r="A106" t="s">
        <v>10</v>
      </c>
      <c r="B106">
        <v>2023</v>
      </c>
      <c r="C106" t="s">
        <v>33</v>
      </c>
      <c r="D106" t="s">
        <v>31</v>
      </c>
      <c r="E106" s="1" t="s">
        <v>12</v>
      </c>
      <c r="F106">
        <v>32085</v>
      </c>
    </row>
    <row r="107" spans="1:6" x14ac:dyDescent="0.25">
      <c r="A107" t="s">
        <v>10</v>
      </c>
      <c r="B107">
        <v>2023</v>
      </c>
      <c r="C107" t="s">
        <v>33</v>
      </c>
      <c r="D107" t="s">
        <v>32</v>
      </c>
      <c r="E107" s="1" t="s">
        <v>12</v>
      </c>
      <c r="F107">
        <v>4475</v>
      </c>
    </row>
    <row r="108" spans="1:6" x14ac:dyDescent="0.25">
      <c r="A108" t="s">
        <v>10</v>
      </c>
      <c r="B108">
        <v>2022</v>
      </c>
      <c r="C108" t="s">
        <v>33</v>
      </c>
      <c r="D108" t="s">
        <v>30</v>
      </c>
      <c r="E108" s="1" t="s">
        <v>12</v>
      </c>
      <c r="F108">
        <v>17929</v>
      </c>
    </row>
    <row r="109" spans="1:6" x14ac:dyDescent="0.25">
      <c r="A109" t="s">
        <v>10</v>
      </c>
      <c r="B109">
        <v>2022</v>
      </c>
      <c r="C109" t="s">
        <v>33</v>
      </c>
      <c r="D109" t="s">
        <v>31</v>
      </c>
      <c r="E109" s="1" t="s">
        <v>12</v>
      </c>
      <c r="F109">
        <v>30005</v>
      </c>
    </row>
    <row r="110" spans="1:6" x14ac:dyDescent="0.25">
      <c r="A110" t="s">
        <v>10</v>
      </c>
      <c r="B110">
        <v>2022</v>
      </c>
      <c r="C110" t="s">
        <v>33</v>
      </c>
      <c r="D110" t="s">
        <v>32</v>
      </c>
      <c r="E110" s="1" t="s">
        <v>12</v>
      </c>
      <c r="F110">
        <v>4657</v>
      </c>
    </row>
    <row r="111" spans="1:6" x14ac:dyDescent="0.25">
      <c r="A111" s="4" t="s">
        <v>6</v>
      </c>
      <c r="B111" s="5">
        <v>2022</v>
      </c>
      <c r="C111" s="5" t="s">
        <v>7</v>
      </c>
      <c r="D111" s="5" t="s">
        <v>8</v>
      </c>
      <c r="E111" s="5" t="s">
        <v>11</v>
      </c>
      <c r="F111">
        <v>1371413</v>
      </c>
    </row>
    <row r="112" spans="1:6" x14ac:dyDescent="0.25">
      <c r="A112" s="4" t="s">
        <v>6</v>
      </c>
      <c r="B112" s="5">
        <v>2023</v>
      </c>
      <c r="C112" s="5" t="s">
        <v>7</v>
      </c>
      <c r="D112" s="5" t="s">
        <v>8</v>
      </c>
      <c r="E112" s="5" t="s">
        <v>11</v>
      </c>
      <c r="F112">
        <v>1322707</v>
      </c>
    </row>
    <row r="113" spans="1:6" x14ac:dyDescent="0.25">
      <c r="A113" s="4" t="s">
        <v>6</v>
      </c>
      <c r="B113" s="5">
        <v>2024</v>
      </c>
      <c r="C113" s="5" t="s">
        <v>7</v>
      </c>
      <c r="D113" s="5" t="s">
        <v>8</v>
      </c>
      <c r="E113" s="5" t="s">
        <v>11</v>
      </c>
      <c r="F113">
        <v>1307892</v>
      </c>
    </row>
    <row r="114" spans="1:6" x14ac:dyDescent="0.25">
      <c r="A114" s="4" t="s">
        <v>9</v>
      </c>
      <c r="B114" s="5">
        <v>2022</v>
      </c>
      <c r="C114" s="5" t="s">
        <v>7</v>
      </c>
      <c r="D114" s="5" t="s">
        <v>8</v>
      </c>
      <c r="E114" s="5" t="s">
        <v>11</v>
      </c>
      <c r="F114">
        <v>1473343.2</v>
      </c>
    </row>
    <row r="115" spans="1:6" x14ac:dyDescent="0.25">
      <c r="A115" s="4" t="s">
        <v>9</v>
      </c>
      <c r="B115" s="5">
        <v>2023</v>
      </c>
      <c r="C115" s="5" t="s">
        <v>7</v>
      </c>
      <c r="D115" s="5" t="s">
        <v>8</v>
      </c>
      <c r="E115" s="5" t="s">
        <v>11</v>
      </c>
      <c r="F115">
        <v>1399024.8</v>
      </c>
    </row>
    <row r="116" spans="1:6" x14ac:dyDescent="0.25">
      <c r="A116" s="4" t="s">
        <v>9</v>
      </c>
      <c r="B116" s="5">
        <v>2024</v>
      </c>
      <c r="C116" s="5" t="s">
        <v>7</v>
      </c>
      <c r="D116" s="5" t="s">
        <v>8</v>
      </c>
      <c r="E116" s="5" t="s">
        <v>11</v>
      </c>
      <c r="F116">
        <v>1349359.2</v>
      </c>
    </row>
    <row r="117" spans="1:6" x14ac:dyDescent="0.25">
      <c r="A117" s="4" t="s">
        <v>10</v>
      </c>
      <c r="B117" s="5">
        <v>2022</v>
      </c>
      <c r="C117" s="5" t="s">
        <v>7</v>
      </c>
      <c r="D117" s="5" t="s">
        <v>8</v>
      </c>
      <c r="E117" s="5" t="s">
        <v>11</v>
      </c>
      <c r="F117">
        <v>913368</v>
      </c>
    </row>
    <row r="118" spans="1:6" x14ac:dyDescent="0.25">
      <c r="A118" s="4" t="s">
        <v>10</v>
      </c>
      <c r="B118" s="5">
        <v>2023</v>
      </c>
      <c r="C118" s="5" t="s">
        <v>7</v>
      </c>
      <c r="D118" s="5" t="s">
        <v>8</v>
      </c>
      <c r="E118" s="5" t="s">
        <v>11</v>
      </c>
      <c r="F118">
        <v>924768</v>
      </c>
    </row>
    <row r="119" spans="1:6" x14ac:dyDescent="0.25">
      <c r="A119" s="4" t="s">
        <v>10</v>
      </c>
      <c r="B119" s="5">
        <v>2024</v>
      </c>
      <c r="C119" s="5" t="s">
        <v>7</v>
      </c>
      <c r="D119" s="5" t="s">
        <v>8</v>
      </c>
      <c r="E119" s="5" t="s">
        <v>11</v>
      </c>
      <c r="F119">
        <v>886177</v>
      </c>
    </row>
    <row r="120" spans="1:6" x14ac:dyDescent="0.25">
      <c r="A120" t="s">
        <v>6</v>
      </c>
      <c r="B120">
        <v>2022</v>
      </c>
      <c r="C120" t="s">
        <v>36</v>
      </c>
      <c r="D120" s="6" t="s">
        <v>35</v>
      </c>
      <c r="E120" t="s">
        <v>34</v>
      </c>
      <c r="F120">
        <v>14226</v>
      </c>
    </row>
    <row r="121" spans="1:6" x14ac:dyDescent="0.25">
      <c r="A121" t="s">
        <v>6</v>
      </c>
      <c r="B121">
        <v>2023</v>
      </c>
      <c r="C121" t="s">
        <v>36</v>
      </c>
      <c r="D121" s="6" t="s">
        <v>35</v>
      </c>
      <c r="E121" t="s">
        <v>34</v>
      </c>
      <c r="F121">
        <v>16540</v>
      </c>
    </row>
    <row r="122" spans="1:6" x14ac:dyDescent="0.25">
      <c r="A122" t="s">
        <v>6</v>
      </c>
      <c r="B122">
        <v>2024</v>
      </c>
      <c r="C122" t="s">
        <v>36</v>
      </c>
      <c r="D122" s="6" t="s">
        <v>35</v>
      </c>
      <c r="E122" t="s">
        <v>34</v>
      </c>
      <c r="F122">
        <v>9631</v>
      </c>
    </row>
    <row r="123" spans="1:6" x14ac:dyDescent="0.25">
      <c r="A123" t="s">
        <v>9</v>
      </c>
      <c r="B123">
        <v>2022</v>
      </c>
      <c r="C123" t="s">
        <v>36</v>
      </c>
      <c r="D123" s="6" t="s">
        <v>35</v>
      </c>
      <c r="E123" t="s">
        <v>34</v>
      </c>
      <c r="F123">
        <v>22925</v>
      </c>
    </row>
    <row r="124" spans="1:6" x14ac:dyDescent="0.25">
      <c r="A124" t="s">
        <v>9</v>
      </c>
      <c r="B124">
        <v>2023</v>
      </c>
      <c r="C124" t="s">
        <v>36</v>
      </c>
      <c r="D124" s="6" t="s">
        <v>35</v>
      </c>
      <c r="E124" t="s">
        <v>34</v>
      </c>
      <c r="F124">
        <v>19208</v>
      </c>
    </row>
    <row r="125" spans="1:6" x14ac:dyDescent="0.25">
      <c r="A125" t="s">
        <v>9</v>
      </c>
      <c r="B125">
        <v>2024</v>
      </c>
      <c r="C125" t="s">
        <v>36</v>
      </c>
      <c r="D125" s="6" t="s">
        <v>35</v>
      </c>
      <c r="E125" t="s">
        <v>34</v>
      </c>
      <c r="F125">
        <v>19405</v>
      </c>
    </row>
    <row r="126" spans="1:6" x14ac:dyDescent="0.25">
      <c r="A126" t="s">
        <v>10</v>
      </c>
      <c r="B126">
        <v>2022</v>
      </c>
      <c r="C126" t="s">
        <v>36</v>
      </c>
      <c r="D126" s="6" t="s">
        <v>35</v>
      </c>
      <c r="E126" t="s">
        <v>34</v>
      </c>
      <c r="F126">
        <v>2625.7</v>
      </c>
    </row>
    <row r="127" spans="1:6" x14ac:dyDescent="0.25">
      <c r="A127" t="s">
        <v>10</v>
      </c>
      <c r="B127">
        <v>2023</v>
      </c>
      <c r="C127" t="s">
        <v>36</v>
      </c>
      <c r="D127" s="6" t="s">
        <v>35</v>
      </c>
      <c r="E127" t="s">
        <v>34</v>
      </c>
      <c r="F127">
        <v>4750.8100000000004</v>
      </c>
    </row>
    <row r="128" spans="1:6" x14ac:dyDescent="0.25">
      <c r="A128" t="s">
        <v>10</v>
      </c>
      <c r="B128">
        <v>2024</v>
      </c>
      <c r="C128" t="s">
        <v>36</v>
      </c>
      <c r="D128" s="6" t="s">
        <v>35</v>
      </c>
      <c r="E128" t="s">
        <v>34</v>
      </c>
      <c r="F128">
        <v>6249.38</v>
      </c>
    </row>
    <row r="129" spans="1:6" x14ac:dyDescent="0.25">
      <c r="A129" t="s">
        <v>6</v>
      </c>
      <c r="B129">
        <v>2024</v>
      </c>
      <c r="C129" t="s">
        <v>37</v>
      </c>
      <c r="D129" t="s">
        <v>38</v>
      </c>
      <c r="E129" t="s">
        <v>12</v>
      </c>
      <c r="F129">
        <v>97.9</v>
      </c>
    </row>
    <row r="130" spans="1:6" x14ac:dyDescent="0.25">
      <c r="A130" t="s">
        <v>9</v>
      </c>
      <c r="B130">
        <v>2024</v>
      </c>
      <c r="C130" t="s">
        <v>37</v>
      </c>
      <c r="D130" t="s">
        <v>38</v>
      </c>
      <c r="E130" t="s">
        <v>12</v>
      </c>
      <c r="F130">
        <v>99</v>
      </c>
    </row>
    <row r="131" spans="1:6" x14ac:dyDescent="0.25">
      <c r="A131" t="s">
        <v>10</v>
      </c>
      <c r="B131">
        <v>2024</v>
      </c>
      <c r="C131" t="s">
        <v>37</v>
      </c>
      <c r="D131" t="s">
        <v>38</v>
      </c>
      <c r="E131" t="s">
        <v>12</v>
      </c>
      <c r="F131">
        <v>100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Gabriella Victor</dc:creator>
  <cp:lastModifiedBy>Maria Gabriella Victor</cp:lastModifiedBy>
  <dcterms:created xsi:type="dcterms:W3CDTF">2025-09-29T16:35:37Z</dcterms:created>
  <dcterms:modified xsi:type="dcterms:W3CDTF">2025-11-30T15:46:55Z</dcterms:modified>
</cp:coreProperties>
</file>